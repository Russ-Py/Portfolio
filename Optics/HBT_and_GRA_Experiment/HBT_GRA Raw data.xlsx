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<sst xmlns="http://schemas.openxmlformats.org/spreadsheetml/2006/main" count="85" uniqueCount="54">
  <si>
    <t>GRA</t>
  </si>
  <si>
    <t>Rates T</t>
  </si>
  <si>
    <t>Rates A</t>
  </si>
  <si>
    <t>Rates B</t>
  </si>
  <si>
    <t>Rates TA</t>
  </si>
  <si>
    <t>Rates TB</t>
  </si>
  <si>
    <t>Rates TAB</t>
  </si>
  <si>
    <t>g^2</t>
  </si>
  <si>
    <t>Error in T</t>
  </si>
  <si>
    <t>Error in A</t>
  </si>
  <si>
    <t>Error in B</t>
  </si>
  <si>
    <t>Error in TA</t>
  </si>
  <si>
    <t>Error in TB</t>
  </si>
  <si>
    <t>Error in TAB</t>
  </si>
  <si>
    <t>T</t>
  </si>
  <si>
    <t>A</t>
  </si>
  <si>
    <t>B</t>
  </si>
  <si>
    <t>Coutns TA</t>
  </si>
  <si>
    <t>Counts TB</t>
  </si>
  <si>
    <t>Counts TAB</t>
  </si>
  <si>
    <t>Error in numerator</t>
  </si>
  <si>
    <t>numerator</t>
  </si>
  <si>
    <t>Error in denominator</t>
  </si>
  <si>
    <t>denominator</t>
  </si>
  <si>
    <t>avg T</t>
  </si>
  <si>
    <t>avg TAB</t>
  </si>
  <si>
    <t>avg TA</t>
  </si>
  <si>
    <t>avg TB</t>
  </si>
  <si>
    <t>g^2 error</t>
  </si>
  <si>
    <t>Average g^2:</t>
  </si>
  <si>
    <t>HBT (With BBO)</t>
  </si>
  <si>
    <t>Rate A</t>
  </si>
  <si>
    <t>Rate B</t>
  </si>
  <si>
    <t>Rate A &amp; B</t>
  </si>
  <si>
    <t>Δt</t>
  </si>
  <si>
    <t>Error AB</t>
  </si>
  <si>
    <t>For Calculating Error in g^2</t>
  </si>
  <si>
    <t>Error in Numerator</t>
  </si>
  <si>
    <t>Error in Denominator</t>
  </si>
  <si>
    <t>Error in g^2</t>
  </si>
  <si>
    <t>AB</t>
  </si>
  <si>
    <t>Delta t</t>
  </si>
  <si>
    <t>Error in Δt</t>
  </si>
  <si>
    <t>A * B * Δt</t>
  </si>
  <si>
    <t>avg A</t>
  </si>
  <si>
    <t>Avg B</t>
  </si>
  <si>
    <t>HBT</t>
  </si>
  <si>
    <t>TA</t>
  </si>
  <si>
    <t>TB</t>
  </si>
  <si>
    <t>TAB</t>
  </si>
  <si>
    <t>Experiment</t>
  </si>
  <si>
    <t>g^2(0)</t>
  </si>
  <si>
    <t>Error in g^2(0)</t>
  </si>
  <si>
    <t>HBT (with BBO)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</si>
</sst>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/>
      <c r="U2" s="2"/>
      <c r="V2" s="2"/>
      <c r="W2" s="2"/>
      <c r="X2" s="2"/>
      <c r="Y2" s="2"/>
    </row>
    <row r="3">
      <c r="A3" s="3">
        <f t="shared" ref="A3:F3" si="1">N3/20</f>
        <v>19835.3</v>
      </c>
      <c r="B3" s="3">
        <f t="shared" si="1"/>
        <v>14632.35</v>
      </c>
      <c r="C3" s="3">
        <f t="shared" si="1"/>
        <v>12715.7</v>
      </c>
      <c r="D3" s="3">
        <f t="shared" si="1"/>
        <v>1162.05</v>
      </c>
      <c r="E3" s="3">
        <f t="shared" si="1"/>
        <v>970.35</v>
      </c>
      <c r="F3" s="3">
        <f t="shared" si="1"/>
        <v>0.1</v>
      </c>
      <c r="G3" s="3">
        <f t="shared" ref="G3:G12" si="4">(F3*A3)/(D3*D3)</f>
        <v>0.001468889557</v>
      </c>
      <c r="H3" s="3">
        <f t="shared" ref="H3:M3" si="2">STDEV(A3:A12)/sqrt(10)</f>
        <v>150.7112589</v>
      </c>
      <c r="I3" s="3">
        <f t="shared" si="2"/>
        <v>128.711549</v>
      </c>
      <c r="J3" s="3">
        <f t="shared" si="2"/>
        <v>79.07273313</v>
      </c>
      <c r="K3" s="3">
        <f t="shared" si="2"/>
        <v>9.619405878</v>
      </c>
      <c r="L3" s="3">
        <f t="shared" si="2"/>
        <v>82.90043427</v>
      </c>
      <c r="M3" s="3">
        <f t="shared" si="2"/>
        <v>0.01452966315</v>
      </c>
      <c r="N3" s="3">
        <v>396706.0</v>
      </c>
      <c r="O3" s="3">
        <v>292647.0</v>
      </c>
      <c r="P3" s="3">
        <v>254314.0</v>
      </c>
      <c r="Q3" s="3">
        <v>23241.0</v>
      </c>
      <c r="R3" s="3">
        <v>19407.0</v>
      </c>
      <c r="S3" s="3">
        <v>2.0</v>
      </c>
      <c r="T3" s="2"/>
      <c r="U3" s="2"/>
      <c r="V3" s="2"/>
      <c r="W3" s="2"/>
      <c r="X3" s="2"/>
      <c r="Y3" s="2"/>
    </row>
    <row r="4">
      <c r="A4" s="3">
        <f t="shared" ref="A4:F4" si="3">N4/20</f>
        <v>20351.95</v>
      </c>
      <c r="B4" s="3">
        <f t="shared" si="3"/>
        <v>15150.6</v>
      </c>
      <c r="C4" s="3">
        <f t="shared" si="3"/>
        <v>12803.8</v>
      </c>
      <c r="D4" s="3">
        <f t="shared" si="3"/>
        <v>1056.2</v>
      </c>
      <c r="E4" s="3">
        <f t="shared" si="3"/>
        <v>873.8</v>
      </c>
      <c r="F4" s="3">
        <f t="shared" si="3"/>
        <v>0.1</v>
      </c>
      <c r="G4" s="3">
        <f t="shared" si="4"/>
        <v>0.001824373271</v>
      </c>
      <c r="H4" s="2"/>
      <c r="I4" s="2"/>
      <c r="J4" s="2"/>
      <c r="K4" s="2"/>
      <c r="L4" s="2"/>
      <c r="M4" s="2"/>
      <c r="N4" s="3">
        <v>407039.0</v>
      </c>
      <c r="O4" s="3">
        <v>303012.0</v>
      </c>
      <c r="P4" s="3">
        <v>256076.0</v>
      </c>
      <c r="Q4" s="3">
        <v>21124.0</v>
      </c>
      <c r="R4" s="3">
        <v>17476.0</v>
      </c>
      <c r="S4" s="3">
        <v>2.0</v>
      </c>
      <c r="T4" s="2"/>
      <c r="U4" s="2"/>
      <c r="V4" s="2"/>
      <c r="W4" s="2"/>
      <c r="X4" s="2"/>
      <c r="Y4" s="2"/>
    </row>
    <row r="5">
      <c r="A5" s="3">
        <f t="shared" ref="A5:F5" si="5">N5/20</f>
        <v>20766.75</v>
      </c>
      <c r="B5" s="3">
        <f t="shared" si="5"/>
        <v>15626.05</v>
      </c>
      <c r="C5" s="3">
        <f t="shared" si="5"/>
        <v>13160</v>
      </c>
      <c r="D5" s="3">
        <f t="shared" si="5"/>
        <v>1071.65</v>
      </c>
      <c r="E5" s="3">
        <f t="shared" si="5"/>
        <v>915.55</v>
      </c>
      <c r="F5" s="3">
        <f t="shared" si="5"/>
        <v>0.1</v>
      </c>
      <c r="G5" s="3">
        <f t="shared" si="4"/>
        <v>0.001808267172</v>
      </c>
      <c r="H5" s="2"/>
      <c r="I5" s="2" t="s">
        <v>20</v>
      </c>
      <c r="J5" s="3">
        <f>J9*I9*sqrt((H3/I9)^2+(M3/J9)^2)</f>
        <v>304.0311125</v>
      </c>
      <c r="K5" s="2" t="s">
        <v>21</v>
      </c>
      <c r="L5" s="3">
        <f>A3*F3</f>
        <v>1983.53</v>
      </c>
      <c r="M5" s="2"/>
      <c r="N5" s="3">
        <v>415335.0</v>
      </c>
      <c r="O5" s="3">
        <v>312521.0</v>
      </c>
      <c r="P5" s="3">
        <v>263200.0</v>
      </c>
      <c r="Q5" s="3">
        <v>21433.0</v>
      </c>
      <c r="R5" s="3">
        <v>18311.0</v>
      </c>
      <c r="S5" s="3">
        <v>2.0</v>
      </c>
      <c r="T5" s="2"/>
      <c r="U5" s="2"/>
      <c r="V5" s="2"/>
      <c r="W5" s="2"/>
      <c r="X5" s="2"/>
      <c r="Y5" s="2"/>
    </row>
    <row r="6">
      <c r="A6" s="3">
        <f t="shared" ref="A6:F6" si="6">N6/20</f>
        <v>21058.4</v>
      </c>
      <c r="B6" s="3">
        <f t="shared" si="6"/>
        <v>15725.15</v>
      </c>
      <c r="C6" s="3">
        <f t="shared" si="6"/>
        <v>13287.4</v>
      </c>
      <c r="D6" s="3">
        <f t="shared" si="6"/>
        <v>1102</v>
      </c>
      <c r="E6" s="3">
        <f t="shared" si="6"/>
        <v>910</v>
      </c>
      <c r="F6" s="3">
        <f t="shared" si="6"/>
        <v>0.1</v>
      </c>
      <c r="G6" s="3">
        <f t="shared" si="4"/>
        <v>0.001734052259</v>
      </c>
      <c r="H6" s="2"/>
      <c r="I6" s="2" t="s">
        <v>22</v>
      </c>
      <c r="J6" s="3">
        <f>K9*L9*sqrt((K3/K9)^2+(L3/L9)^2)</f>
        <v>91638.80623</v>
      </c>
      <c r="K6" s="2" t="s">
        <v>23</v>
      </c>
      <c r="L6" s="3">
        <f>K9*L9</f>
        <v>919315.7691</v>
      </c>
      <c r="M6" s="2"/>
      <c r="N6" s="3">
        <v>421168.0</v>
      </c>
      <c r="O6" s="3">
        <v>314503.0</v>
      </c>
      <c r="P6" s="3">
        <v>265748.0</v>
      </c>
      <c r="Q6" s="3">
        <v>22040.0</v>
      </c>
      <c r="R6" s="3">
        <v>18200.0</v>
      </c>
      <c r="S6" s="3">
        <v>2.0</v>
      </c>
      <c r="T6" s="2"/>
      <c r="U6" s="2"/>
      <c r="V6" s="2"/>
      <c r="W6" s="2"/>
      <c r="X6" s="2"/>
      <c r="Y6" s="2"/>
    </row>
    <row r="7">
      <c r="A7" s="3">
        <f t="shared" ref="A7:F7" si="7">N7/20</f>
        <v>21100.25</v>
      </c>
      <c r="B7" s="3">
        <f t="shared" si="7"/>
        <v>15798.2</v>
      </c>
      <c r="C7" s="3">
        <f t="shared" si="7"/>
        <v>13313.8</v>
      </c>
      <c r="D7" s="3">
        <f t="shared" si="7"/>
        <v>1120.8</v>
      </c>
      <c r="E7" s="3">
        <f t="shared" si="7"/>
        <v>931</v>
      </c>
      <c r="F7" s="3">
        <f t="shared" si="7"/>
        <v>0.15</v>
      </c>
      <c r="G7" s="3">
        <f t="shared" si="4"/>
        <v>0.002519547878</v>
      </c>
      <c r="H7" s="2"/>
      <c r="I7" s="2"/>
      <c r="J7" s="2"/>
      <c r="K7" s="2"/>
      <c r="L7" s="2"/>
      <c r="M7" s="2"/>
      <c r="N7" s="3">
        <v>422005.0</v>
      </c>
      <c r="O7" s="3">
        <v>315964.0</v>
      </c>
      <c r="P7" s="3">
        <v>266276.0</v>
      </c>
      <c r="Q7" s="3">
        <v>22416.0</v>
      </c>
      <c r="R7" s="3">
        <v>18620.0</v>
      </c>
      <c r="S7" s="3">
        <v>3.0</v>
      </c>
      <c r="T7" s="2"/>
      <c r="U7" s="2"/>
      <c r="V7" s="2"/>
      <c r="W7" s="2"/>
      <c r="X7" s="2"/>
      <c r="Y7" s="2"/>
    </row>
    <row r="8">
      <c r="A8" s="3">
        <f t="shared" ref="A8:F8" si="8">N8/20</f>
        <v>21357.5</v>
      </c>
      <c r="B8" s="3">
        <f t="shared" si="8"/>
        <v>15966.3</v>
      </c>
      <c r="C8" s="3">
        <f t="shared" si="8"/>
        <v>13459.6</v>
      </c>
      <c r="D8" s="3">
        <f t="shared" si="8"/>
        <v>1121.3</v>
      </c>
      <c r="E8" s="3">
        <f t="shared" si="8"/>
        <v>929.6</v>
      </c>
      <c r="F8" s="3">
        <f t="shared" si="8"/>
        <v>0.1</v>
      </c>
      <c r="G8" s="3">
        <f t="shared" si="4"/>
        <v>0.001698661215</v>
      </c>
      <c r="H8" s="2"/>
      <c r="I8" s="2" t="s">
        <v>24</v>
      </c>
      <c r="J8" s="2" t="s">
        <v>25</v>
      </c>
      <c r="K8" s="2" t="s">
        <v>26</v>
      </c>
      <c r="L8" s="2" t="s">
        <v>27</v>
      </c>
      <c r="M8" s="2"/>
      <c r="N8" s="3">
        <v>427150.0</v>
      </c>
      <c r="O8" s="3">
        <v>319326.0</v>
      </c>
      <c r="P8" s="3">
        <v>269192.0</v>
      </c>
      <c r="Q8" s="3">
        <v>22426.0</v>
      </c>
      <c r="R8" s="3">
        <v>18592.0</v>
      </c>
      <c r="S8" s="3">
        <v>2.0</v>
      </c>
      <c r="T8" s="2"/>
      <c r="U8" s="2"/>
      <c r="V8" s="2"/>
      <c r="W8" s="2"/>
      <c r="X8" s="2"/>
      <c r="Y8" s="2"/>
    </row>
    <row r="9">
      <c r="A9" s="3">
        <f t="shared" ref="A9:F9" si="9">N9/20</f>
        <v>21353.25</v>
      </c>
      <c r="B9" s="3">
        <f t="shared" si="9"/>
        <v>15948</v>
      </c>
      <c r="C9" s="3">
        <f t="shared" si="9"/>
        <v>13436.95</v>
      </c>
      <c r="D9" s="3">
        <f t="shared" si="9"/>
        <v>1108.4</v>
      </c>
      <c r="E9" s="3">
        <f t="shared" si="9"/>
        <v>925.9</v>
      </c>
      <c r="F9" s="3">
        <f t="shared" si="9"/>
        <v>0.05</v>
      </c>
      <c r="G9" s="3">
        <f t="shared" si="4"/>
        <v>0.0008690423779</v>
      </c>
      <c r="H9" s="2"/>
      <c r="I9" s="3">
        <f>average(A3:A12)</f>
        <v>20893.725</v>
      </c>
      <c r="J9" s="3">
        <f>average(F3:F12)</f>
        <v>0.11</v>
      </c>
      <c r="K9" s="3">
        <f t="shared" ref="K9:L9" si="10">average(D3:D12)</f>
        <v>1101.155</v>
      </c>
      <c r="L9" s="3">
        <f t="shared" si="10"/>
        <v>834.865</v>
      </c>
      <c r="M9" s="2"/>
      <c r="N9" s="3">
        <v>427065.0</v>
      </c>
      <c r="O9" s="3">
        <v>318960.0</v>
      </c>
      <c r="P9" s="3">
        <v>268739.0</v>
      </c>
      <c r="Q9" s="3">
        <v>22168.0</v>
      </c>
      <c r="R9" s="3">
        <v>18518.0</v>
      </c>
      <c r="S9" s="3">
        <v>1.0</v>
      </c>
      <c r="T9" s="2"/>
      <c r="U9" s="2"/>
      <c r="V9" s="2"/>
      <c r="W9" s="2"/>
      <c r="X9" s="2"/>
      <c r="Y9" s="2"/>
    </row>
    <row r="10">
      <c r="A10" s="3">
        <f t="shared" ref="A10:F10" si="11">N10/20</f>
        <v>20954.65</v>
      </c>
      <c r="B10" s="3">
        <f t="shared" si="11"/>
        <v>15558.5</v>
      </c>
      <c r="C10" s="3">
        <f t="shared" si="11"/>
        <v>13276.45</v>
      </c>
      <c r="D10" s="3">
        <f t="shared" si="11"/>
        <v>1075.4</v>
      </c>
      <c r="E10" s="3">
        <f t="shared" si="11"/>
        <v>901.45</v>
      </c>
      <c r="F10" s="3">
        <f t="shared" si="11"/>
        <v>0.2</v>
      </c>
      <c r="G10" s="3">
        <f t="shared" si="4"/>
        <v>0.003623851083</v>
      </c>
      <c r="H10" s="2"/>
      <c r="I10" s="2"/>
      <c r="J10" s="2"/>
      <c r="K10" s="2"/>
      <c r="L10" s="2"/>
      <c r="M10" s="2"/>
      <c r="N10" s="3">
        <v>419093.0</v>
      </c>
      <c r="O10" s="3">
        <v>311170.0</v>
      </c>
      <c r="P10" s="3">
        <v>265529.0</v>
      </c>
      <c r="Q10" s="3">
        <v>21508.0</v>
      </c>
      <c r="R10" s="3">
        <v>18029.0</v>
      </c>
      <c r="S10" s="3">
        <v>4.0</v>
      </c>
      <c r="T10" s="2"/>
      <c r="U10" s="2"/>
      <c r="V10" s="2"/>
      <c r="W10" s="2"/>
      <c r="X10" s="2"/>
      <c r="Y10" s="2"/>
    </row>
    <row r="11">
      <c r="A11" s="3">
        <f t="shared" ref="A11:F11" si="12">N11/20</f>
        <v>21230.45</v>
      </c>
      <c r="B11" s="3">
        <f t="shared" si="12"/>
        <v>15808.05</v>
      </c>
      <c r="C11" s="3">
        <f t="shared" si="12"/>
        <v>13319.75</v>
      </c>
      <c r="D11" s="3">
        <f t="shared" si="12"/>
        <v>1106.45</v>
      </c>
      <c r="E11" s="3">
        <f t="shared" si="12"/>
        <v>92.25</v>
      </c>
      <c r="F11" s="3">
        <f t="shared" si="12"/>
        <v>0.05</v>
      </c>
      <c r="G11" s="3">
        <f t="shared" si="4"/>
        <v>0.0008670928751</v>
      </c>
      <c r="H11" s="2"/>
      <c r="I11" s="2" t="s">
        <v>28</v>
      </c>
      <c r="J11" s="3">
        <f>G13*sqrt((J5/L5)^2+(J6/L6)^2)</f>
        <v>0.0003486616329</v>
      </c>
      <c r="K11" s="2"/>
      <c r="L11" s="2"/>
      <c r="M11" s="2"/>
      <c r="N11" s="3">
        <v>424609.0</v>
      </c>
      <c r="O11" s="3">
        <v>316161.0</v>
      </c>
      <c r="P11" s="3">
        <v>266395.0</v>
      </c>
      <c r="Q11" s="3">
        <v>22129.0</v>
      </c>
      <c r="R11" s="3">
        <v>1845.0</v>
      </c>
      <c r="S11" s="3">
        <v>1.0</v>
      </c>
      <c r="T11" s="2"/>
      <c r="U11" s="2"/>
      <c r="V11" s="2"/>
      <c r="W11" s="2"/>
      <c r="X11" s="2"/>
      <c r="Y11" s="2"/>
    </row>
    <row r="12">
      <c r="A12" s="3">
        <f t="shared" ref="A12:F12" si="13">N12/20</f>
        <v>20928.75</v>
      </c>
      <c r="B12" s="3">
        <f t="shared" si="13"/>
        <v>15606.3</v>
      </c>
      <c r="C12" s="3">
        <f t="shared" si="13"/>
        <v>13119.8</v>
      </c>
      <c r="D12" s="3">
        <f t="shared" si="13"/>
        <v>1087.3</v>
      </c>
      <c r="E12" s="3">
        <f t="shared" si="13"/>
        <v>898.75</v>
      </c>
      <c r="F12" s="3">
        <f t="shared" si="13"/>
        <v>0.15</v>
      </c>
      <c r="G12" s="3">
        <f t="shared" si="4"/>
        <v>0.0026554356</v>
      </c>
      <c r="H12" s="2"/>
      <c r="I12" s="2"/>
      <c r="J12" s="2"/>
      <c r="K12" s="2"/>
      <c r="L12" s="2"/>
      <c r="M12" s="2"/>
      <c r="N12" s="3">
        <v>418575.0</v>
      </c>
      <c r="O12" s="3">
        <v>312126.0</v>
      </c>
      <c r="P12" s="3">
        <v>262396.0</v>
      </c>
      <c r="Q12" s="3">
        <v>21746.0</v>
      </c>
      <c r="R12" s="3">
        <v>17975.0</v>
      </c>
      <c r="S12" s="3">
        <v>3.0</v>
      </c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 t="s">
        <v>29</v>
      </c>
      <c r="G13" s="3">
        <f>AVERAGE(G3:G12)</f>
        <v>0.001906921329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">
        <v>30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 t="s">
        <v>31</v>
      </c>
      <c r="B15" s="2" t="s">
        <v>32</v>
      </c>
      <c r="C15" s="2" t="s">
        <v>33</v>
      </c>
      <c r="D15" s="2" t="s">
        <v>34</v>
      </c>
      <c r="E15" s="2" t="s">
        <v>7</v>
      </c>
      <c r="F15" s="2" t="s">
        <v>9</v>
      </c>
      <c r="G15" s="2" t="s">
        <v>10</v>
      </c>
      <c r="H15" s="2" t="s">
        <v>35</v>
      </c>
      <c r="I15" s="2" t="s">
        <v>36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>
        <f t="shared" ref="A16:C16" si="14">L17/20</f>
        <v>14663.4</v>
      </c>
      <c r="B16" s="3">
        <f t="shared" si="14"/>
        <v>12247.65</v>
      </c>
      <c r="C16" s="3">
        <f t="shared" si="14"/>
        <v>0.85</v>
      </c>
      <c r="D16" s="4">
        <v>5.0E-9</v>
      </c>
      <c r="E16" s="4">
        <f t="shared" ref="E16:E25" si="17">C16/(A16*B16*D16)</f>
        <v>0.9465890418</v>
      </c>
      <c r="F16" s="3">
        <f t="shared" ref="F16:H16" si="15">STDEV(A16:A25)/sqrt(10)</f>
        <v>92.46111681</v>
      </c>
      <c r="G16" s="3">
        <f t="shared" si="15"/>
        <v>92.49451523</v>
      </c>
      <c r="H16" s="3">
        <f t="shared" si="15"/>
        <v>0.07639444424</v>
      </c>
      <c r="I16" s="2" t="s">
        <v>37</v>
      </c>
      <c r="J16" s="2" t="s">
        <v>38</v>
      </c>
      <c r="K16" s="2" t="s">
        <v>39</v>
      </c>
      <c r="L16" s="2" t="s">
        <v>15</v>
      </c>
      <c r="M16" s="2" t="s">
        <v>16</v>
      </c>
      <c r="N16" s="2" t="s">
        <v>40</v>
      </c>
      <c r="O16" s="2" t="s">
        <v>41</v>
      </c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>
        <f t="shared" ref="A17:C17" si="16">L18/20</f>
        <v>15630.15</v>
      </c>
      <c r="B17" s="3">
        <f t="shared" si="16"/>
        <v>13104.65</v>
      </c>
      <c r="C17" s="3">
        <f t="shared" si="16"/>
        <v>1.35</v>
      </c>
      <c r="D17" s="4">
        <v>5.0E-9</v>
      </c>
      <c r="E17" s="4">
        <f t="shared" si="17"/>
        <v>1.318181439</v>
      </c>
      <c r="F17" s="2"/>
      <c r="G17" s="2"/>
      <c r="H17" s="2"/>
      <c r="I17" s="3">
        <f>H16</f>
        <v>0.07639444424</v>
      </c>
      <c r="J17" s="4">
        <f>H20*SQRT((F16/G23)^2 +(G16/H23)^2 + (G20/D16)^2)</f>
        <v>0.09018224966</v>
      </c>
      <c r="K17" s="4">
        <f>E16*sqrt((H16/C16)^2+(J17/H20)^2)</f>
        <v>0.1275749706</v>
      </c>
      <c r="L17" s="3">
        <v>293268.0</v>
      </c>
      <c r="M17" s="3">
        <v>244953.0</v>
      </c>
      <c r="N17" s="3">
        <v>17.0</v>
      </c>
      <c r="O17" s="3">
        <v>5.0</v>
      </c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>
        <f t="shared" ref="A18:C18" si="18">L19/20</f>
        <v>15486.95</v>
      </c>
      <c r="B18" s="3">
        <f t="shared" si="18"/>
        <v>13100.25</v>
      </c>
      <c r="C18" s="3">
        <f t="shared" si="18"/>
        <v>1.3</v>
      </c>
      <c r="D18" s="4">
        <v>5.0E-9</v>
      </c>
      <c r="E18" s="4">
        <f t="shared" si="17"/>
        <v>1.281527317</v>
      </c>
      <c r="F18" s="2"/>
      <c r="G18" s="2"/>
      <c r="H18" s="2"/>
      <c r="I18" s="2"/>
      <c r="J18" s="2"/>
      <c r="K18" s="2"/>
      <c r="L18" s="3">
        <v>312603.0</v>
      </c>
      <c r="M18" s="3">
        <v>262093.0</v>
      </c>
      <c r="N18" s="3">
        <v>27.0</v>
      </c>
      <c r="O18" s="3">
        <v>5.0</v>
      </c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>
        <f t="shared" ref="A19:C19" si="19">L20/20</f>
        <v>15723.85</v>
      </c>
      <c r="B19" s="3">
        <f t="shared" si="19"/>
        <v>13361.65</v>
      </c>
      <c r="C19" s="3">
        <f t="shared" si="19"/>
        <v>1.1</v>
      </c>
      <c r="D19" s="4">
        <v>5.0E-9</v>
      </c>
      <c r="E19" s="4">
        <f t="shared" si="17"/>
        <v>1.047137462</v>
      </c>
      <c r="F19" s="2"/>
      <c r="G19" s="2" t="s">
        <v>42</v>
      </c>
      <c r="H19" s="2" t="s">
        <v>43</v>
      </c>
      <c r="I19" s="2"/>
      <c r="J19" s="2"/>
      <c r="K19" s="2"/>
      <c r="L19" s="3">
        <v>309739.0</v>
      </c>
      <c r="M19" s="3">
        <v>262005.0</v>
      </c>
      <c r="N19" s="3">
        <v>26.0</v>
      </c>
      <c r="O19" s="3">
        <v>5.0</v>
      </c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>
        <f t="shared" ref="A20:C20" si="20">L21/20</f>
        <v>15619.15</v>
      </c>
      <c r="B20" s="3">
        <f t="shared" si="20"/>
        <v>13182.95</v>
      </c>
      <c r="C20" s="3">
        <f t="shared" si="20"/>
        <v>1.25</v>
      </c>
      <c r="D20" s="4">
        <v>5.0E-9</v>
      </c>
      <c r="E20" s="4">
        <f t="shared" si="17"/>
        <v>1.214143469</v>
      </c>
      <c r="F20" s="2"/>
      <c r="G20" s="4">
        <v>5.0E-10</v>
      </c>
      <c r="H20" s="4">
        <f>A16*B16*D16</f>
        <v>0.8979609551</v>
      </c>
      <c r="I20" s="2"/>
      <c r="J20" s="2"/>
      <c r="K20" s="2"/>
      <c r="L20" s="3">
        <v>314477.0</v>
      </c>
      <c r="M20" s="3">
        <v>267233.0</v>
      </c>
      <c r="N20" s="3">
        <v>22.0</v>
      </c>
      <c r="O20" s="3">
        <v>5.0</v>
      </c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>
        <f t="shared" ref="A21:C21" si="21">L22/20</f>
        <v>15529.25</v>
      </c>
      <c r="B21" s="3">
        <f t="shared" si="21"/>
        <v>13126.2</v>
      </c>
      <c r="C21" s="3">
        <f t="shared" si="21"/>
        <v>1.2</v>
      </c>
      <c r="D21" s="4">
        <v>5.0E-9</v>
      </c>
      <c r="E21" s="4">
        <f t="shared" si="17"/>
        <v>1.177393796</v>
      </c>
      <c r="F21" s="2"/>
      <c r="G21" s="2"/>
      <c r="H21" s="2"/>
      <c r="I21" s="2"/>
      <c r="J21" s="2"/>
      <c r="K21" s="2"/>
      <c r="L21" s="3">
        <v>312383.0</v>
      </c>
      <c r="M21" s="3">
        <v>263659.0</v>
      </c>
      <c r="N21" s="3">
        <v>25.0</v>
      </c>
      <c r="O21" s="3">
        <v>5.0</v>
      </c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>
        <f t="shared" ref="A22:C22" si="22">L23/20</f>
        <v>15511</v>
      </c>
      <c r="B22" s="3">
        <f t="shared" si="22"/>
        <v>13091.15</v>
      </c>
      <c r="C22" s="3">
        <f t="shared" si="22"/>
        <v>1.65</v>
      </c>
      <c r="D22" s="4">
        <v>5.0E-9</v>
      </c>
      <c r="E22" s="4">
        <f t="shared" si="17"/>
        <v>1.625160817</v>
      </c>
      <c r="F22" s="2"/>
      <c r="G22" s="2" t="s">
        <v>44</v>
      </c>
      <c r="H22" s="2" t="s">
        <v>45</v>
      </c>
      <c r="I22" s="2"/>
      <c r="J22" s="2"/>
      <c r="K22" s="2"/>
      <c r="L22" s="3">
        <v>310585.0</v>
      </c>
      <c r="M22" s="3">
        <v>262524.0</v>
      </c>
      <c r="N22" s="3">
        <v>24.0</v>
      </c>
      <c r="O22" s="3">
        <v>5.0</v>
      </c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>
        <f t="shared" ref="A23:C23" si="23">L24/20</f>
        <v>15470.7</v>
      </c>
      <c r="B23" s="3">
        <f t="shared" si="23"/>
        <v>13026.3</v>
      </c>
      <c r="C23" s="3">
        <f t="shared" si="23"/>
        <v>1.05</v>
      </c>
      <c r="D23" s="4">
        <v>5.0E-9</v>
      </c>
      <c r="E23" s="4">
        <f t="shared" si="17"/>
        <v>1.042049271</v>
      </c>
      <c r="F23" s="2"/>
      <c r="G23" s="3">
        <f t="shared" ref="G23:H23" si="24">average(A16:A25)</f>
        <v>15450.62</v>
      </c>
      <c r="H23" s="3">
        <f t="shared" si="24"/>
        <v>13031.275</v>
      </c>
      <c r="I23" s="2"/>
      <c r="J23" s="2"/>
      <c r="K23" s="2"/>
      <c r="L23" s="3">
        <v>310220.0</v>
      </c>
      <c r="M23" s="3">
        <v>261823.0</v>
      </c>
      <c r="N23" s="3">
        <v>33.0</v>
      </c>
      <c r="O23" s="3">
        <v>5.0</v>
      </c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>
        <f t="shared" ref="A24:C24" si="25">L25/20</f>
        <v>15470.7</v>
      </c>
      <c r="B24" s="3">
        <f t="shared" si="25"/>
        <v>13057.7</v>
      </c>
      <c r="C24" s="3">
        <f t="shared" si="25"/>
        <v>1.05</v>
      </c>
      <c r="D24" s="4">
        <v>5.0E-9</v>
      </c>
      <c r="E24" s="4">
        <f t="shared" si="17"/>
        <v>1.039543444</v>
      </c>
      <c r="F24" s="2"/>
      <c r="G24" s="2"/>
      <c r="H24" s="2"/>
      <c r="I24" s="2"/>
      <c r="J24" s="2"/>
      <c r="K24" s="2"/>
      <c r="L24" s="3">
        <v>309414.0</v>
      </c>
      <c r="M24" s="3">
        <v>260526.0</v>
      </c>
      <c r="N24" s="3">
        <v>21.0</v>
      </c>
      <c r="O24" s="3">
        <v>5.0</v>
      </c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>
        <f t="shared" ref="A25:C25" si="26">L26/20</f>
        <v>15401.05</v>
      </c>
      <c r="B25" s="3">
        <f t="shared" si="26"/>
        <v>13014.25</v>
      </c>
      <c r="C25" s="3">
        <f t="shared" si="26"/>
        <v>1.55</v>
      </c>
      <c r="D25" s="4">
        <v>5.0E-9</v>
      </c>
      <c r="E25" s="4">
        <f t="shared" si="17"/>
        <v>1.546650612</v>
      </c>
      <c r="F25" s="2"/>
      <c r="G25" s="2"/>
      <c r="H25" s="2"/>
      <c r="I25" s="2"/>
      <c r="J25" s="2"/>
      <c r="K25" s="2"/>
      <c r="L25" s="3">
        <v>309414.0</v>
      </c>
      <c r="M25" s="3">
        <v>261154.0</v>
      </c>
      <c r="N25" s="3">
        <v>21.0</v>
      </c>
      <c r="O25" s="3">
        <v>5.0</v>
      </c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 t="s">
        <v>29</v>
      </c>
      <c r="E26" s="4">
        <f>AVERAGE(E16:E25)</f>
        <v>1.223837667</v>
      </c>
      <c r="F26" s="2"/>
      <c r="G26" s="2"/>
      <c r="H26" s="2"/>
      <c r="I26" s="2"/>
      <c r="J26" s="2"/>
      <c r="K26" s="2"/>
      <c r="L26" s="3">
        <v>308021.0</v>
      </c>
      <c r="M26" s="3">
        <v>260285.0</v>
      </c>
      <c r="N26" s="3">
        <v>31.0</v>
      </c>
      <c r="O26" s="3">
        <v>5.0</v>
      </c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" t="s">
        <v>46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 t="s">
        <v>31</v>
      </c>
      <c r="B31" s="2" t="s">
        <v>32</v>
      </c>
      <c r="C31" s="2" t="s">
        <v>33</v>
      </c>
      <c r="D31" s="2" t="s">
        <v>34</v>
      </c>
      <c r="E31" s="2" t="s">
        <v>7</v>
      </c>
      <c r="F31" s="2" t="s">
        <v>9</v>
      </c>
      <c r="G31" s="2" t="s">
        <v>10</v>
      </c>
      <c r="H31" s="2" t="s">
        <v>35</v>
      </c>
      <c r="I31" s="2" t="s">
        <v>36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">
        <f t="shared" ref="A32:C32" si="27">L33/20</f>
        <v>27094.35</v>
      </c>
      <c r="B32" s="3">
        <f t="shared" si="27"/>
        <v>29426.1</v>
      </c>
      <c r="C32" s="3">
        <f t="shared" si="27"/>
        <v>3.95</v>
      </c>
      <c r="D32" s="4">
        <v>5.0E-9</v>
      </c>
      <c r="E32" s="4">
        <f t="shared" ref="E32:E41" si="30">C32/(A32*B32*D32)</f>
        <v>0.9908676463</v>
      </c>
      <c r="F32" s="3">
        <f t="shared" ref="F32:H32" si="28">STDEV(A32:A41)/sqrt(10)</f>
        <v>51.13547323</v>
      </c>
      <c r="G32" s="3">
        <f t="shared" si="28"/>
        <v>60.28226107</v>
      </c>
      <c r="H32" s="3">
        <f t="shared" si="28"/>
        <v>0.1046687898</v>
      </c>
      <c r="I32" s="2" t="s">
        <v>37</v>
      </c>
      <c r="J32" s="2" t="s">
        <v>38</v>
      </c>
      <c r="K32" s="2" t="s">
        <v>39</v>
      </c>
      <c r="L32" s="2" t="s">
        <v>15</v>
      </c>
      <c r="M32" s="2" t="s">
        <v>16</v>
      </c>
      <c r="N32" s="2" t="s">
        <v>40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>
        <f t="shared" ref="A33:C33" si="29">L34/20</f>
        <v>27210.5</v>
      </c>
      <c r="B33" s="3">
        <f t="shared" si="29"/>
        <v>29657.35</v>
      </c>
      <c r="C33" s="3">
        <f t="shared" si="29"/>
        <v>4.35</v>
      </c>
      <c r="D33" s="4">
        <v>5.0E-9</v>
      </c>
      <c r="E33" s="4">
        <f t="shared" si="30"/>
        <v>1.078078507</v>
      </c>
      <c r="F33" s="2"/>
      <c r="G33" s="2"/>
      <c r="H33" s="2"/>
      <c r="I33" s="3">
        <f>H32</f>
        <v>0.1046687898</v>
      </c>
      <c r="J33" s="4">
        <f>H36*SQRT((F32/G39)^2 +(G32/H39)^2 + (G36/D32)^2)</f>
        <v>0.3987930695</v>
      </c>
      <c r="K33" s="4">
        <f>E32*sqrt((H32/C32)^2+(J33/H36)^2)</f>
        <v>0.1025431751</v>
      </c>
      <c r="L33" s="3">
        <v>541887.0</v>
      </c>
      <c r="M33" s="3">
        <v>588522.0</v>
      </c>
      <c r="N33" s="3">
        <v>79.0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">
        <f t="shared" ref="A34:C34" si="31">L35/20</f>
        <v>27292.25</v>
      </c>
      <c r="B34" s="3">
        <f t="shared" si="31"/>
        <v>29628.4</v>
      </c>
      <c r="C34" s="3">
        <f t="shared" si="31"/>
        <v>4.05</v>
      </c>
      <c r="D34" s="4">
        <v>5.0E-9</v>
      </c>
      <c r="E34" s="4">
        <f t="shared" si="30"/>
        <v>1.00169955</v>
      </c>
      <c r="F34" s="2"/>
      <c r="G34" s="2"/>
      <c r="H34" s="2"/>
      <c r="I34" s="2"/>
      <c r="J34" s="2"/>
      <c r="K34" s="2"/>
      <c r="L34" s="3">
        <v>544210.0</v>
      </c>
      <c r="M34" s="3">
        <v>593147.0</v>
      </c>
      <c r="N34" s="3">
        <v>87.0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3">
        <f t="shared" ref="A35:C35" si="32">L36/20</f>
        <v>27464.75</v>
      </c>
      <c r="B35" s="3">
        <f t="shared" si="32"/>
        <v>29850.8</v>
      </c>
      <c r="C35" s="3">
        <f t="shared" si="32"/>
        <v>4.75</v>
      </c>
      <c r="D35" s="4">
        <v>5.0E-9</v>
      </c>
      <c r="E35" s="4">
        <f t="shared" si="30"/>
        <v>1.158755959</v>
      </c>
      <c r="F35" s="2"/>
      <c r="G35" s="2" t="s">
        <v>42</v>
      </c>
      <c r="H35" s="2" t="s">
        <v>43</v>
      </c>
      <c r="I35" s="2"/>
      <c r="J35" s="2"/>
      <c r="K35" s="2"/>
      <c r="L35" s="3">
        <v>545845.0</v>
      </c>
      <c r="M35" s="3">
        <v>592568.0</v>
      </c>
      <c r="N35" s="3">
        <v>81.0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>
        <f t="shared" ref="A36:C36" si="33">L37/20</f>
        <v>27254.6</v>
      </c>
      <c r="B36" s="3">
        <f t="shared" si="33"/>
        <v>29648.85</v>
      </c>
      <c r="C36" s="3">
        <f t="shared" si="33"/>
        <v>4</v>
      </c>
      <c r="D36" s="4">
        <v>5.0E-9</v>
      </c>
      <c r="E36" s="4">
        <f t="shared" si="30"/>
        <v>0.9900162465</v>
      </c>
      <c r="F36" s="2"/>
      <c r="G36" s="4">
        <v>5.0E-10</v>
      </c>
      <c r="H36" s="4">
        <f>A32*B32*D32</f>
        <v>3.986405263</v>
      </c>
      <c r="I36" s="2"/>
      <c r="J36" s="2"/>
      <c r="K36" s="2"/>
      <c r="L36" s="3">
        <v>549295.0</v>
      </c>
      <c r="M36" s="3">
        <v>597016.0</v>
      </c>
      <c r="N36" s="3">
        <v>95.0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>
        <f t="shared" ref="A37:C37" si="34">L38/20</f>
        <v>27185.1</v>
      </c>
      <c r="B37" s="3">
        <f t="shared" si="34"/>
        <v>29472.1</v>
      </c>
      <c r="C37" s="3">
        <f t="shared" si="34"/>
        <v>4.45</v>
      </c>
      <c r="D37" s="4">
        <v>5.0E-9</v>
      </c>
      <c r="E37" s="4">
        <f t="shared" si="30"/>
        <v>1.110830996</v>
      </c>
      <c r="F37" s="2"/>
      <c r="G37" s="2"/>
      <c r="H37" s="2"/>
      <c r="I37" s="2"/>
      <c r="J37" s="2"/>
      <c r="K37" s="2"/>
      <c r="L37" s="3">
        <v>545092.0</v>
      </c>
      <c r="M37" s="3">
        <v>592977.0</v>
      </c>
      <c r="N37" s="3">
        <v>80.0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>
        <f t="shared" ref="A38:C38" si="35">L39/20</f>
        <v>27540.5</v>
      </c>
      <c r="B38" s="3">
        <f t="shared" si="35"/>
        <v>29884.95</v>
      </c>
      <c r="C38" s="3">
        <f t="shared" si="35"/>
        <v>4.3</v>
      </c>
      <c r="D38" s="4">
        <v>5.0E-9</v>
      </c>
      <c r="E38" s="4">
        <f t="shared" si="30"/>
        <v>1.044898479</v>
      </c>
      <c r="F38" s="2"/>
      <c r="G38" s="2" t="s">
        <v>44</v>
      </c>
      <c r="H38" s="2" t="s">
        <v>45</v>
      </c>
      <c r="I38" s="2"/>
      <c r="J38" s="2"/>
      <c r="K38" s="2"/>
      <c r="L38" s="3">
        <v>543702.0</v>
      </c>
      <c r="M38" s="3">
        <v>589442.0</v>
      </c>
      <c r="N38" s="3">
        <v>89.0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3">
        <f t="shared" ref="A39:C39" si="36">L40/20</f>
        <v>27320</v>
      </c>
      <c r="B39" s="3">
        <f t="shared" si="36"/>
        <v>29796.35</v>
      </c>
      <c r="C39" s="3">
        <f t="shared" si="36"/>
        <v>3.85</v>
      </c>
      <c r="D39" s="4">
        <v>5.0E-9</v>
      </c>
      <c r="E39" s="4">
        <f t="shared" si="30"/>
        <v>0.9459037847</v>
      </c>
      <c r="F39" s="2"/>
      <c r="G39" s="3">
        <f t="shared" ref="G39:H39" si="37">average(A32:A41)</f>
        <v>27264.78</v>
      </c>
      <c r="H39" s="3">
        <f t="shared" si="37"/>
        <v>29637.55</v>
      </c>
      <c r="I39" s="2"/>
      <c r="J39" s="2"/>
      <c r="K39" s="2"/>
      <c r="L39" s="3">
        <v>550810.0</v>
      </c>
      <c r="M39" s="3">
        <v>597699.0</v>
      </c>
      <c r="N39" s="3">
        <v>86.0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">
        <f t="shared" ref="A40:C40" si="38">L41/20</f>
        <v>27296.75</v>
      </c>
      <c r="B40" s="3">
        <f t="shared" si="38"/>
        <v>29714.45</v>
      </c>
      <c r="C40" s="3">
        <f t="shared" si="38"/>
        <v>3.75</v>
      </c>
      <c r="D40" s="4">
        <v>5.0E-9</v>
      </c>
      <c r="E40" s="4">
        <f t="shared" si="30"/>
        <v>0.92466118</v>
      </c>
      <c r="F40" s="2"/>
      <c r="G40" s="2"/>
      <c r="H40" s="2"/>
      <c r="I40" s="2"/>
      <c r="J40" s="2"/>
      <c r="K40" s="2"/>
      <c r="L40" s="3">
        <v>546400.0</v>
      </c>
      <c r="M40" s="3">
        <v>595927.0</v>
      </c>
      <c r="N40" s="3">
        <v>77.0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>
        <f t="shared" ref="A41:C41" si="39">L42/20</f>
        <v>26989</v>
      </c>
      <c r="B41" s="3">
        <f t="shared" si="39"/>
        <v>29296.15</v>
      </c>
      <c r="C41" s="3">
        <f t="shared" si="39"/>
        <v>3.75</v>
      </c>
      <c r="D41" s="4">
        <v>5.0E-9</v>
      </c>
      <c r="E41" s="4">
        <f t="shared" si="30"/>
        <v>0.9485580618</v>
      </c>
      <c r="F41" s="2"/>
      <c r="G41" s="2"/>
      <c r="H41" s="2"/>
      <c r="I41" s="2"/>
      <c r="J41" s="2"/>
      <c r="K41" s="2"/>
      <c r="L41" s="3">
        <v>545935.0</v>
      </c>
      <c r="M41" s="3">
        <v>594289.0</v>
      </c>
      <c r="N41" s="3">
        <v>75.0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 t="s">
        <v>29</v>
      </c>
      <c r="E42" s="4">
        <f>AVERAGE(E32:E41)</f>
        <v>1.019427041</v>
      </c>
      <c r="F42" s="2"/>
      <c r="G42" s="2"/>
      <c r="H42" s="2"/>
      <c r="I42" s="2"/>
      <c r="J42" s="2"/>
      <c r="K42" s="2"/>
      <c r="L42" s="3">
        <v>539780.0</v>
      </c>
      <c r="M42" s="3">
        <v>585923.0</v>
      </c>
      <c r="N42" s="3">
        <v>75.0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>
        <v>9.5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 t="s">
        <v>14</v>
      </c>
      <c r="B45" s="2" t="s">
        <v>15</v>
      </c>
      <c r="C45" s="2" t="s">
        <v>16</v>
      </c>
      <c r="D45" s="2" t="s">
        <v>47</v>
      </c>
      <c r="E45" s="2" t="s">
        <v>48</v>
      </c>
      <c r="F45" s="2" t="s">
        <v>49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 t="s">
        <v>50</v>
      </c>
      <c r="B48" s="2" t="s">
        <v>51</v>
      </c>
      <c r="C48" s="2" t="s">
        <v>52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 t="s">
        <v>46</v>
      </c>
      <c r="B49" s="4">
        <f>E42</f>
        <v>1.019427041</v>
      </c>
      <c r="C49" s="4">
        <f>K33</f>
        <v>0.1025431751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 t="s">
        <v>53</v>
      </c>
      <c r="B50" s="4">
        <f>E26</f>
        <v>1.223837667</v>
      </c>
      <c r="C50" s="4">
        <f>K17</f>
        <v>0.1275749706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 t="s">
        <v>0</v>
      </c>
      <c r="B51" s="3">
        <f>G13</f>
        <v>0.001906921329</v>
      </c>
      <c r="C51" s="3">
        <f>J11</f>
        <v>0.0003486616329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</sheetData>
  <drawing r:id="rId1"/>
</worksheet>
</file>